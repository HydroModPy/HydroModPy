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60" windowWidth="20730" windowHeight="9795"/>
  </bookViews>
  <sheets>
    <sheet name="Theis" sheetId="1" r:id="rId1"/>
    <sheet name="Jacob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F5" i="1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4"/>
  <c r="C27" l="1"/>
  <c r="C29"/>
  <c r="C28"/>
  <c r="B5" l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4"/>
</calcChain>
</file>

<file path=xl/sharedStrings.xml><?xml version="1.0" encoding="utf-8"?>
<sst xmlns="http://schemas.openxmlformats.org/spreadsheetml/2006/main" count="18" uniqueCount="15">
  <si>
    <t>Drawdown (ft)</t>
  </si>
  <si>
    <t>t (min)</t>
  </si>
  <si>
    <t xml:space="preserve">1/t </t>
  </si>
  <si>
    <t>1foot = 0,3048m</t>
  </si>
  <si>
    <t>Q constant =</t>
  </si>
  <si>
    <t xml:space="preserve">d (puits/piezo) = </t>
  </si>
  <si>
    <t>824 ft</t>
  </si>
  <si>
    <t>e</t>
  </si>
  <si>
    <t>m3/s</t>
  </si>
  <si>
    <t>m</t>
  </si>
  <si>
    <t>60 ft</t>
  </si>
  <si>
    <t>150 ft3/min</t>
  </si>
  <si>
    <t>Données de pompage</t>
  </si>
  <si>
    <t>t(s)</t>
  </si>
  <si>
    <t>s (m)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</si>
</sst>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topLeftCell="A10" workbookViewId="0">
      <selection activeCell="C27" sqref="C27"/>
    </sheetView>
  </sheetViews>
  <sheetFormatPr baseColWidth="10" defaultRowHeight="15"/>
  <cols>
    <col min="1" max="1" width="17.5703125" customWidth="1"/>
    <col min="2" max="3" width="13.85546875" customWidth="1"/>
  </cols>
  <sheetData>
    <row r="1" spans="1:6" ht="18.75">
      <c r="A1" s="1" t="s">
        <v>12</v>
      </c>
      <c r="B1" s="1"/>
      <c r="D1" t="s">
        <v>3</v>
      </c>
    </row>
    <row r="3" spans="1:6">
      <c r="A3" s="4" t="s">
        <v>1</v>
      </c>
      <c r="B3" s="4" t="s">
        <v>2</v>
      </c>
      <c r="C3" s="4" t="s">
        <v>0</v>
      </c>
      <c r="E3" s="7" t="s">
        <v>13</v>
      </c>
      <c r="F3" s="7" t="s">
        <v>14</v>
      </c>
    </row>
    <row r="4" spans="1:6">
      <c r="A4" s="5">
        <v>3</v>
      </c>
      <c r="B4" s="6">
        <f>1/A4</f>
        <v>0.33333333333333331</v>
      </c>
      <c r="C4" s="5">
        <v>0.3</v>
      </c>
      <c r="E4" s="8">
        <f>A4*60</f>
        <v>180</v>
      </c>
      <c r="F4" s="8">
        <f>C4*0.3048</f>
        <v>9.1440000000000007E-2</v>
      </c>
    </row>
    <row r="5" spans="1:6">
      <c r="A5" s="5">
        <v>5</v>
      </c>
      <c r="B5" s="6">
        <f t="shared" ref="B5:B25" si="0">1/A5</f>
        <v>0.2</v>
      </c>
      <c r="C5" s="5">
        <v>0.7</v>
      </c>
      <c r="E5" s="8">
        <f t="shared" ref="E5:E25" si="1">A5*60</f>
        <v>300</v>
      </c>
      <c r="F5" s="8">
        <f t="shared" ref="F5:F25" si="2">C5*0.3048</f>
        <v>0.21335999999999999</v>
      </c>
    </row>
    <row r="6" spans="1:6">
      <c r="A6" s="5">
        <v>8</v>
      </c>
      <c r="B6" s="6">
        <f t="shared" si="0"/>
        <v>0.125</v>
      </c>
      <c r="C6" s="5">
        <v>1.3</v>
      </c>
      <c r="E6" s="8">
        <f t="shared" si="1"/>
        <v>480</v>
      </c>
      <c r="F6" s="8">
        <f t="shared" si="2"/>
        <v>0.39624000000000004</v>
      </c>
    </row>
    <row r="7" spans="1:6">
      <c r="A7" s="5">
        <v>12</v>
      </c>
      <c r="B7" s="6">
        <f t="shared" si="0"/>
        <v>8.3333333333333329E-2</v>
      </c>
      <c r="C7" s="5">
        <v>2.1</v>
      </c>
      <c r="E7" s="8">
        <f t="shared" si="1"/>
        <v>720</v>
      </c>
      <c r="F7" s="8">
        <f t="shared" si="2"/>
        <v>0.64008000000000009</v>
      </c>
    </row>
    <row r="8" spans="1:6">
      <c r="A8" s="5">
        <v>20</v>
      </c>
      <c r="B8" s="6">
        <f t="shared" si="0"/>
        <v>0.05</v>
      </c>
      <c r="C8" s="5">
        <v>3.2</v>
      </c>
      <c r="E8" s="8">
        <f t="shared" si="1"/>
        <v>1200</v>
      </c>
      <c r="F8" s="8">
        <f t="shared" si="2"/>
        <v>0.97536000000000012</v>
      </c>
    </row>
    <row r="9" spans="1:6">
      <c r="A9" s="5">
        <v>24</v>
      </c>
      <c r="B9" s="6">
        <f t="shared" si="0"/>
        <v>4.1666666666666664E-2</v>
      </c>
      <c r="C9" s="5">
        <v>3.6</v>
      </c>
      <c r="E9" s="8">
        <f t="shared" si="1"/>
        <v>1440</v>
      </c>
      <c r="F9" s="8">
        <f t="shared" si="2"/>
        <v>1.09728</v>
      </c>
    </row>
    <row r="10" spans="1:6">
      <c r="A10" s="5">
        <v>30</v>
      </c>
      <c r="B10" s="6">
        <f t="shared" si="0"/>
        <v>3.3333333333333333E-2</v>
      </c>
      <c r="C10" s="5">
        <v>4.0999999999999996</v>
      </c>
      <c r="E10" s="8">
        <f t="shared" si="1"/>
        <v>1800</v>
      </c>
      <c r="F10" s="8">
        <f t="shared" si="2"/>
        <v>1.2496799999999999</v>
      </c>
    </row>
    <row r="11" spans="1:6">
      <c r="A11" s="5">
        <v>38</v>
      </c>
      <c r="B11" s="6">
        <f t="shared" si="0"/>
        <v>2.6315789473684209E-2</v>
      </c>
      <c r="C11" s="5">
        <v>4.7</v>
      </c>
      <c r="E11" s="8">
        <f t="shared" si="1"/>
        <v>2280</v>
      </c>
      <c r="F11" s="8">
        <f t="shared" si="2"/>
        <v>1.4325600000000001</v>
      </c>
    </row>
    <row r="12" spans="1:6">
      <c r="A12" s="5">
        <v>47</v>
      </c>
      <c r="B12" s="6">
        <f t="shared" si="0"/>
        <v>2.1276595744680851E-2</v>
      </c>
      <c r="C12" s="5">
        <v>5.0999999999999996</v>
      </c>
      <c r="E12" s="8">
        <f t="shared" si="1"/>
        <v>2820</v>
      </c>
      <c r="F12" s="8">
        <f t="shared" si="2"/>
        <v>1.5544799999999999</v>
      </c>
    </row>
    <row r="13" spans="1:6">
      <c r="A13" s="5">
        <v>50</v>
      </c>
      <c r="B13" s="6">
        <f t="shared" si="0"/>
        <v>0.02</v>
      </c>
      <c r="C13" s="5">
        <v>5.3</v>
      </c>
      <c r="E13" s="8">
        <f t="shared" si="1"/>
        <v>3000</v>
      </c>
      <c r="F13" s="8">
        <f t="shared" si="2"/>
        <v>1.61544</v>
      </c>
    </row>
    <row r="14" spans="1:6">
      <c r="A14" s="5">
        <v>60</v>
      </c>
      <c r="B14" s="6">
        <f t="shared" si="0"/>
        <v>1.6666666666666666E-2</v>
      </c>
      <c r="C14" s="5">
        <v>5.7</v>
      </c>
      <c r="E14" s="8">
        <f t="shared" si="1"/>
        <v>3600</v>
      </c>
      <c r="F14" s="8">
        <f t="shared" si="2"/>
        <v>1.7373600000000002</v>
      </c>
    </row>
    <row r="15" spans="1:6">
      <c r="A15" s="5">
        <v>70</v>
      </c>
      <c r="B15" s="6">
        <f t="shared" si="0"/>
        <v>1.4285714285714285E-2</v>
      </c>
      <c r="C15" s="5">
        <v>6.1</v>
      </c>
      <c r="E15" s="8">
        <f t="shared" si="1"/>
        <v>4200</v>
      </c>
      <c r="F15" s="8">
        <f t="shared" si="2"/>
        <v>1.85928</v>
      </c>
    </row>
    <row r="16" spans="1:6">
      <c r="A16" s="5">
        <v>80</v>
      </c>
      <c r="B16" s="6">
        <f t="shared" si="0"/>
        <v>1.2500000000000001E-2</v>
      </c>
      <c r="C16" s="5">
        <v>6.3</v>
      </c>
      <c r="E16" s="8">
        <f t="shared" si="1"/>
        <v>4800</v>
      </c>
      <c r="F16" s="8">
        <f t="shared" si="2"/>
        <v>1.9202399999999999</v>
      </c>
    </row>
    <row r="17" spans="1:6">
      <c r="A17" s="5">
        <v>90</v>
      </c>
      <c r="B17" s="6">
        <f t="shared" si="0"/>
        <v>1.1111111111111112E-2</v>
      </c>
      <c r="C17" s="5">
        <v>6.7</v>
      </c>
      <c r="E17" s="8">
        <f t="shared" si="1"/>
        <v>5400</v>
      </c>
      <c r="F17" s="8">
        <f t="shared" si="2"/>
        <v>2.04216</v>
      </c>
    </row>
    <row r="18" spans="1:6">
      <c r="A18" s="5">
        <v>100</v>
      </c>
      <c r="B18" s="6">
        <f t="shared" si="0"/>
        <v>0.01</v>
      </c>
      <c r="C18" s="5">
        <v>7</v>
      </c>
      <c r="E18" s="8">
        <f t="shared" si="1"/>
        <v>6000</v>
      </c>
      <c r="F18" s="8">
        <f t="shared" si="2"/>
        <v>2.1335999999999999</v>
      </c>
    </row>
    <row r="19" spans="1:6">
      <c r="A19" s="5">
        <v>130</v>
      </c>
      <c r="B19" s="6">
        <f t="shared" si="0"/>
        <v>7.6923076923076927E-3</v>
      </c>
      <c r="C19" s="5">
        <v>7.5</v>
      </c>
      <c r="E19" s="8">
        <f t="shared" si="1"/>
        <v>7800</v>
      </c>
      <c r="F19" s="8">
        <f t="shared" si="2"/>
        <v>2.286</v>
      </c>
    </row>
    <row r="20" spans="1:6">
      <c r="A20" s="5">
        <v>160</v>
      </c>
      <c r="B20" s="6">
        <f t="shared" si="0"/>
        <v>6.2500000000000003E-3</v>
      </c>
      <c r="C20" s="5">
        <v>8.3000000000000007</v>
      </c>
      <c r="E20" s="8">
        <f t="shared" si="1"/>
        <v>9600</v>
      </c>
      <c r="F20" s="8">
        <f t="shared" si="2"/>
        <v>2.5298400000000005</v>
      </c>
    </row>
    <row r="21" spans="1:6">
      <c r="A21" s="5">
        <v>200</v>
      </c>
      <c r="B21" s="6">
        <f t="shared" si="0"/>
        <v>5.0000000000000001E-3</v>
      </c>
      <c r="C21" s="5">
        <v>8.5</v>
      </c>
      <c r="E21" s="8">
        <f t="shared" si="1"/>
        <v>12000</v>
      </c>
      <c r="F21" s="8">
        <f t="shared" si="2"/>
        <v>2.5908000000000002</v>
      </c>
    </row>
    <row r="22" spans="1:6">
      <c r="A22" s="5">
        <v>260</v>
      </c>
      <c r="B22" s="6">
        <f t="shared" si="0"/>
        <v>3.8461538461538464E-3</v>
      </c>
      <c r="C22" s="5">
        <v>9.1999999999999993</v>
      </c>
      <c r="E22" s="8">
        <f t="shared" si="1"/>
        <v>15600</v>
      </c>
      <c r="F22" s="8">
        <f t="shared" si="2"/>
        <v>2.80416</v>
      </c>
    </row>
    <row r="23" spans="1:6">
      <c r="A23" s="5">
        <v>320</v>
      </c>
      <c r="B23" s="6">
        <f t="shared" si="0"/>
        <v>3.1250000000000002E-3</v>
      </c>
      <c r="C23" s="5">
        <v>9.6999999999999993</v>
      </c>
      <c r="E23" s="8">
        <f t="shared" si="1"/>
        <v>19200</v>
      </c>
      <c r="F23" s="8">
        <f t="shared" si="2"/>
        <v>2.9565600000000001</v>
      </c>
    </row>
    <row r="24" spans="1:6">
      <c r="A24" s="5">
        <v>380</v>
      </c>
      <c r="B24" s="6">
        <f t="shared" si="0"/>
        <v>2.631578947368421E-3</v>
      </c>
      <c r="C24" s="5">
        <v>10.199999999999999</v>
      </c>
      <c r="E24" s="8">
        <f t="shared" si="1"/>
        <v>22800</v>
      </c>
      <c r="F24" s="8">
        <f t="shared" si="2"/>
        <v>3.1089599999999997</v>
      </c>
    </row>
    <row r="25" spans="1:6">
      <c r="A25" s="5">
        <v>500</v>
      </c>
      <c r="B25" s="6">
        <f t="shared" si="0"/>
        <v>2E-3</v>
      </c>
      <c r="C25" s="5">
        <v>10.9</v>
      </c>
      <c r="E25" s="8">
        <f t="shared" si="1"/>
        <v>30000</v>
      </c>
      <c r="F25" s="8">
        <f t="shared" si="2"/>
        <v>3.3223200000000004</v>
      </c>
    </row>
    <row r="27" spans="1:6">
      <c r="A27" t="s">
        <v>4</v>
      </c>
      <c r="B27" t="s">
        <v>11</v>
      </c>
      <c r="C27">
        <f>150*0.3048^3/60</f>
        <v>7.0792116480000014E-2</v>
      </c>
      <c r="D27" t="s">
        <v>8</v>
      </c>
    </row>
    <row r="28" spans="1:6">
      <c r="A28" t="s">
        <v>5</v>
      </c>
      <c r="B28" t="s">
        <v>6</v>
      </c>
      <c r="C28">
        <f>824*0.3048</f>
        <v>251.15520000000001</v>
      </c>
      <c r="D28" t="s">
        <v>9</v>
      </c>
    </row>
    <row r="29" spans="1:6">
      <c r="A29" t="s">
        <v>7</v>
      </c>
      <c r="B29" t="s">
        <v>10</v>
      </c>
      <c r="C29">
        <f>60*0.3048</f>
        <v>18.288</v>
      </c>
      <c r="D29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5"/>
  <sheetViews>
    <sheetView workbookViewId="0">
      <selection activeCell="E24" sqref="E24"/>
    </sheetView>
  </sheetViews>
  <sheetFormatPr baseColWidth="10" defaultRowHeight="15"/>
  <cols>
    <col min="2" max="2" width="15.28515625" customWidth="1"/>
  </cols>
  <sheetData>
    <row r="3" spans="1:2">
      <c r="A3" s="3" t="s">
        <v>1</v>
      </c>
      <c r="B3" s="3" t="s">
        <v>0</v>
      </c>
    </row>
    <row r="4" spans="1:2">
      <c r="A4" s="2">
        <v>3</v>
      </c>
      <c r="B4" s="2">
        <v>0.3</v>
      </c>
    </row>
    <row r="5" spans="1:2">
      <c r="A5" s="2">
        <v>5</v>
      </c>
      <c r="B5" s="2">
        <v>0.7</v>
      </c>
    </row>
    <row r="6" spans="1:2">
      <c r="A6" s="2">
        <v>8</v>
      </c>
      <c r="B6" s="2">
        <v>1.3</v>
      </c>
    </row>
    <row r="7" spans="1:2">
      <c r="A7" s="2">
        <v>12</v>
      </c>
      <c r="B7" s="2">
        <v>2.1</v>
      </c>
    </row>
    <row r="8" spans="1:2">
      <c r="A8" s="2">
        <v>20</v>
      </c>
      <c r="B8" s="2">
        <v>3.2</v>
      </c>
    </row>
    <row r="9" spans="1:2">
      <c r="A9" s="2">
        <v>24</v>
      </c>
      <c r="B9" s="2">
        <v>3.6</v>
      </c>
    </row>
    <row r="10" spans="1:2">
      <c r="A10" s="2">
        <v>30</v>
      </c>
      <c r="B10" s="2">
        <v>4.0999999999999996</v>
      </c>
    </row>
    <row r="11" spans="1:2">
      <c r="A11" s="2">
        <v>38</v>
      </c>
      <c r="B11" s="2">
        <v>4.7</v>
      </c>
    </row>
    <row r="12" spans="1:2">
      <c r="A12" s="2">
        <v>47</v>
      </c>
      <c r="B12" s="2">
        <v>5.0999999999999996</v>
      </c>
    </row>
    <row r="13" spans="1:2">
      <c r="A13" s="2">
        <v>50</v>
      </c>
      <c r="B13" s="2">
        <v>5.3</v>
      </c>
    </row>
    <row r="14" spans="1:2">
      <c r="A14" s="2">
        <v>60</v>
      </c>
      <c r="B14" s="2">
        <v>5.7</v>
      </c>
    </row>
    <row r="15" spans="1:2">
      <c r="A15" s="2">
        <v>70</v>
      </c>
      <c r="B15" s="2">
        <v>6.1</v>
      </c>
    </row>
    <row r="16" spans="1:2">
      <c r="A16" s="2">
        <v>80</v>
      </c>
      <c r="B16" s="2">
        <v>6.3</v>
      </c>
    </row>
    <row r="17" spans="1:2">
      <c r="A17" s="2">
        <v>90</v>
      </c>
      <c r="B17" s="2">
        <v>6.7</v>
      </c>
    </row>
    <row r="18" spans="1:2">
      <c r="A18" s="2">
        <v>100</v>
      </c>
      <c r="B18" s="2">
        <v>7</v>
      </c>
    </row>
    <row r="19" spans="1:2">
      <c r="A19" s="2">
        <v>130</v>
      </c>
      <c r="B19" s="2">
        <v>7.5</v>
      </c>
    </row>
    <row r="20" spans="1:2">
      <c r="A20" s="2">
        <v>160</v>
      </c>
      <c r="B20" s="2">
        <v>8.3000000000000007</v>
      </c>
    </row>
    <row r="21" spans="1:2">
      <c r="A21" s="2">
        <v>200</v>
      </c>
      <c r="B21" s="2">
        <v>8.5</v>
      </c>
    </row>
    <row r="22" spans="1:2">
      <c r="A22" s="2">
        <v>260</v>
      </c>
      <c r="B22" s="2">
        <v>9.1999999999999993</v>
      </c>
    </row>
    <row r="23" spans="1:2">
      <c r="A23" s="2">
        <v>320</v>
      </c>
      <c r="B23" s="2">
        <v>9.6999999999999993</v>
      </c>
    </row>
    <row r="24" spans="1:2">
      <c r="A24" s="2">
        <v>380</v>
      </c>
      <c r="B24" s="2">
        <v>10.199999999999999</v>
      </c>
    </row>
    <row r="25" spans="1:2">
      <c r="A25" s="2">
        <v>500</v>
      </c>
      <c r="B25" s="2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Theis</vt:lpstr>
      <vt:lpstr>Jacob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Guillaumot</dc:creator>
  <cp:lastModifiedBy>ronan</cp:lastModifiedBy>
  <dcterms:created xsi:type="dcterms:W3CDTF">2015-11-04T08:05:55Z</dcterms:created>
  <dcterms:modified xsi:type="dcterms:W3CDTF">2016-11-04T11:24:34Z</dcterms:modified>
</cp:coreProperties>
</file>